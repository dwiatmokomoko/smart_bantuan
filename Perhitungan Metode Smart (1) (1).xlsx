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1. Kriteria-Sub Kriteria" sheetId="1" state="visible" r:id="rId2"/>
    <sheet name="2. Pembobotan Kriteria" sheetId="2" state="visible" r:id="rId3"/>
    <sheet name="3. Normalisasi" sheetId="3" state="visible" r:id="rId4"/>
    <sheet name="4. Nilai Utility" sheetId="4" state="visible" r:id="rId5"/>
    <sheet name="5. Contoh Kasus" sheetId="5" state="visible" r:id="rId6"/>
    <sheet name="6. Nilai Akhir" sheetId="6" state="visible" r:id="rId7"/>
    <sheet name="7. Tabel Keputusan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<sst xmlns="http://schemas.openxmlformats.org/spreadsheetml/2006/main" count="159" uniqueCount="62">
  <si>
    <t xml:space="preserve">No.</t>
  </si>
  <si>
    <t xml:space="preserve">Nama Kriteria</t>
  </si>
  <si>
    <t xml:space="preserve">Sub Kriteria</t>
  </si>
  <si>
    <t xml:space="preserve">1.</t>
  </si>
  <si>
    <t xml:space="preserve">Pekerjaan</t>
  </si>
  <si>
    <t xml:space="preserve">Tetap</t>
  </si>
  <si>
    <t xml:space="preserve">Tidak Tetap</t>
  </si>
  <si>
    <t xml:space="preserve">Tidak Bekerja</t>
  </si>
  <si>
    <t xml:space="preserve">2.</t>
  </si>
  <si>
    <t xml:space="preserve">Status Hubungan Dalam Keluarga</t>
  </si>
  <si>
    <t xml:space="preserve">Kepala Keluarga</t>
  </si>
  <si>
    <t xml:space="preserve">Suami/Istri</t>
  </si>
  <si>
    <t xml:space="preserve">Anak</t>
  </si>
  <si>
    <t xml:space="preserve">Menantu</t>
  </si>
  <si>
    <t xml:space="preserve">Cucu</t>
  </si>
  <si>
    <t xml:space="preserve">Mertua</t>
  </si>
  <si>
    <t xml:space="preserve">Famili Lain</t>
  </si>
  <si>
    <t xml:space="preserve">Lainnya</t>
  </si>
  <si>
    <t xml:space="preserve">3.</t>
  </si>
  <si>
    <t xml:space="preserve">Data Kependudukan Sinkron</t>
  </si>
  <si>
    <t xml:space="preserve">Ya</t>
  </si>
  <si>
    <t xml:space="preserve">Tidak</t>
  </si>
  <si>
    <t xml:space="preserve">4.</t>
  </si>
  <si>
    <t xml:space="preserve">Adanya Anggota Keluarga Sudah Ditanggung Iuran BPJS</t>
  </si>
  <si>
    <t xml:space="preserve">Ada</t>
  </si>
  <si>
    <t xml:space="preserve">5.</t>
  </si>
  <si>
    <t xml:space="preserve">Adanya Anggota Keluarga di luar keluarga inti</t>
  </si>
  <si>
    <t xml:space="preserve">6.</t>
  </si>
  <si>
    <t xml:space="preserve">Kependudukan Sesuai Wilayah PBI BPJS</t>
  </si>
  <si>
    <t xml:space="preserve">Nilai Bobot</t>
  </si>
  <si>
    <t xml:space="preserve">Normalisasi</t>
  </si>
  <si>
    <t xml:space="preserve">hitungan</t>
  </si>
  <si>
    <t xml:space="preserve">pembobotan kriteria/total bobot kriteria</t>
  </si>
  <si>
    <t xml:space="preserve">90/420</t>
  </si>
  <si>
    <t xml:space="preserve">60/420</t>
  </si>
  <si>
    <t xml:space="preserve">70/420</t>
  </si>
  <si>
    <t xml:space="preserve">80/420</t>
  </si>
  <si>
    <t xml:space="preserve">jumlah</t>
  </si>
  <si>
    <t xml:space="preserve">Nilai Utility</t>
  </si>
  <si>
    <t xml:space="preserve">Warga kota yk dengan pekerjaan wiraswasta, status hubungan dalam keluarga sebagai famili lain karena saat ini numpang KK, sudah memiliki bpjs mandiri, data antara KK dan KTP sudah sesuai</t>
  </si>
  <si>
    <t xml:space="preserve">100*(input-nilai utility minimal)/(utl max-utl min)%</t>
  </si>
  <si>
    <t xml:space="preserve">Bobot Nilai Utility</t>
  </si>
  <si>
    <t xml:space="preserve">perhitungan</t>
  </si>
  <si>
    <t xml:space="preserve">(100*(80-40)/(90-40))%</t>
  </si>
  <si>
    <t xml:space="preserve">(100*(20-10)/(80-10))%</t>
  </si>
  <si>
    <t xml:space="preserve">(100*(80-50)/(80-50))%</t>
  </si>
  <si>
    <t xml:space="preserve">(100*(40-40)/(70-40))%</t>
  </si>
  <si>
    <t xml:space="preserve">(100*(50-50)/(80-50))%</t>
  </si>
  <si>
    <t xml:space="preserve">(100*(80-30)/(80-30))%</t>
  </si>
  <si>
    <t xml:space="preserve">normalisasi</t>
  </si>
  <si>
    <t xml:space="preserve">bobot utility (dari contoh kasus)</t>
  </si>
  <si>
    <t xml:space="preserve">nilai akhir (normalisasi*bobot nilai utility)</t>
  </si>
  <si>
    <t xml:space="preserve">Nilai Akhir</t>
  </si>
  <si>
    <t xml:space="preserve">Nilai</t>
  </si>
  <si>
    <t xml:space="preserve">Keterangan</t>
  </si>
  <si>
    <t xml:space="preserve">0 s/d 0.49</t>
  </si>
  <si>
    <t xml:space="preserve">Tidak berhak menerima PBI BPJS</t>
  </si>
  <si>
    <t xml:space="preserve">0.50 s/d 0.75</t>
  </si>
  <si>
    <t xml:space="preserve">Bisa diupayakan menerima PBI BPJS dengan penyesuaian persyaratan</t>
  </si>
  <si>
    <t xml:space="preserve">0.76 s/d 1</t>
  </si>
  <si>
    <t xml:space="preserve">Berhak menerima PBI BPJS</t>
  </si>
  <si>
    <t xml:space="preserve">Karena contoh kasus sebelumnya hanya mendapatkan nilai 0.54898, sesuai dengan tabel keputusan maka warga tersebut bisa diupayakan menerima PBI BPJS dengan penyesuaian persyaratan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</si>
</sst>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%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9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81D41A"/>
        <bgColor rgb="FFAFD095"/>
      </patternFill>
    </fill>
    <fill>
      <patternFill patternType="solid">
        <fgColor rgb="FFB4C7DC"/>
        <bgColor rgb="FFCCCCFF"/>
      </patternFill>
    </fill>
    <fill>
      <patternFill patternType="solid">
        <fgColor rgb="FFFFDBB6"/>
        <bgColor rgb="FFFFFFCC"/>
      </patternFill>
    </fill>
    <fill>
      <patternFill patternType="solid">
        <fgColor rgb="FFB85C00"/>
        <bgColor rgb="FFFF6600"/>
      </patternFill>
    </fill>
    <fill>
      <patternFill patternType="solid">
        <fgColor rgb="FFAFD095"/>
        <bgColor rgb="FFB4C7D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DBB6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B85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1:H3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31" activeCellId="0" sqref="G3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4"/>
    <col collapsed="false" customWidth="true" hidden="false" outlineLevel="0" max="3" min="3" style="1" width="17.71"/>
    <col collapsed="false" customWidth="true" hidden="false" outlineLevel="0" max="7" min="7" style="1" width="52.86"/>
    <col collapsed="false" customWidth="true" hidden="false" outlineLevel="0" max="8" min="8" style="1" width="16.29"/>
  </cols>
  <sheetData>
    <row r="1" customFormat="false" ht="13.8" hidden="false" customHeight="false" outlineLevel="0" collapsed="false">
      <c r="F1" s="1" t="s">
        <v>0</v>
      </c>
      <c r="G1" s="1" t="s">
        <v>1</v>
      </c>
      <c r="H1" s="1" t="s">
        <v>2</v>
      </c>
    </row>
    <row r="2" customFormat="false" ht="13.8" hidden="false" customHeight="false" outlineLevel="0" collapsed="false">
      <c r="F2" s="1" t="s">
        <v>3</v>
      </c>
      <c r="G2" s="1" t="s">
        <v>4</v>
      </c>
      <c r="H2" s="1" t="s">
        <v>5</v>
      </c>
    </row>
    <row r="3" customFormat="false" ht="13.8" hidden="false" customHeight="false" outlineLevel="0" collapsed="false">
      <c r="H3" s="1" t="s">
        <v>6</v>
      </c>
    </row>
    <row r="4" customFormat="false" ht="13.8" hidden="false" customHeight="false" outlineLevel="0" collapsed="false">
      <c r="H4" s="1" t="s">
        <v>7</v>
      </c>
    </row>
    <row r="5" customFormat="false" ht="13.8" hidden="false" customHeight="false" outlineLevel="0" collapsed="false">
      <c r="F5" s="1" t="s">
        <v>8</v>
      </c>
      <c r="G5" s="1" t="s">
        <v>9</v>
      </c>
      <c r="H5" s="1" t="s">
        <v>10</v>
      </c>
    </row>
    <row r="6" customFormat="false" ht="13.8" hidden="false" customHeight="false" outlineLevel="0" collapsed="false">
      <c r="H6" s="1" t="s">
        <v>11</v>
      </c>
    </row>
    <row r="7" customFormat="false" ht="13.8" hidden="false" customHeight="false" outlineLevel="0" collapsed="false">
      <c r="H7" s="1" t="s">
        <v>12</v>
      </c>
    </row>
    <row r="8" customFormat="false" ht="13.8" hidden="false" customHeight="false" outlineLevel="0" collapsed="false">
      <c r="H8" s="1" t="s">
        <v>13</v>
      </c>
    </row>
    <row r="9" customFormat="false" ht="13.8" hidden="false" customHeight="false" outlineLevel="0" collapsed="false">
      <c r="H9" s="1" t="s">
        <v>14</v>
      </c>
    </row>
    <row r="10" customFormat="false" ht="13.8" hidden="false" customHeight="false" outlineLevel="0" collapsed="false">
      <c r="H10" s="1" t="s">
        <v>15</v>
      </c>
    </row>
    <row r="11" customFormat="false" ht="13.8" hidden="false" customHeight="false" outlineLevel="0" collapsed="false">
      <c r="H11" s="1" t="s">
        <v>16</v>
      </c>
    </row>
    <row r="12" customFormat="false" ht="13.8" hidden="false" customHeight="false" outlineLevel="0" collapsed="false">
      <c r="H12" s="1" t="s">
        <v>17</v>
      </c>
    </row>
    <row r="13" customFormat="false" ht="13.8" hidden="false" customHeight="false" outlineLevel="0" collapsed="false">
      <c r="F13" s="1" t="s">
        <v>18</v>
      </c>
      <c r="G13" s="1" t="s">
        <v>19</v>
      </c>
      <c r="H13" s="1" t="s">
        <v>20</v>
      </c>
    </row>
    <row r="14" customFormat="false" ht="13.8" hidden="false" customHeight="false" outlineLevel="0" collapsed="false">
      <c r="H14" s="1" t="s">
        <v>21</v>
      </c>
    </row>
    <row r="15" customFormat="false" ht="13.8" hidden="false" customHeight="false" outlineLevel="0" collapsed="false">
      <c r="F15" s="1" t="s">
        <v>22</v>
      </c>
      <c r="G15" s="1" t="s">
        <v>23</v>
      </c>
      <c r="H15" s="1" t="s">
        <v>24</v>
      </c>
    </row>
    <row r="16" customFormat="false" ht="13.8" hidden="false" customHeight="false" outlineLevel="0" collapsed="false">
      <c r="H16" s="1" t="s">
        <v>21</v>
      </c>
    </row>
    <row r="17" customFormat="false" ht="13.8" hidden="false" customHeight="false" outlineLevel="0" collapsed="false">
      <c r="F17" s="1" t="s">
        <v>25</v>
      </c>
      <c r="G17" s="1" t="s">
        <v>26</v>
      </c>
      <c r="H17" s="1" t="s">
        <v>24</v>
      </c>
    </row>
    <row r="18" customFormat="false" ht="13.8" hidden="false" customHeight="false" outlineLevel="0" collapsed="false">
      <c r="H18" s="1" t="s">
        <v>21</v>
      </c>
    </row>
    <row r="19" customFormat="false" ht="13.8" hidden="false" customHeight="false" outlineLevel="0" collapsed="false">
      <c r="F19" s="1" t="s">
        <v>27</v>
      </c>
      <c r="G19" s="1" t="s">
        <v>28</v>
      </c>
      <c r="H19" s="1" t="s">
        <v>20</v>
      </c>
    </row>
    <row r="20" customFormat="false" ht="13.8" hidden="false" customHeight="false" outlineLevel="0" collapsed="false">
      <c r="H20" s="1" t="s">
        <v>21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0.85"/>
    <col collapsed="false" customWidth="true" hidden="false" outlineLevel="0" max="5" min="5" style="2" width="9.14"/>
    <col collapsed="false" customWidth="true" hidden="false" outlineLevel="0" max="6" min="6" style="1" width="50.57"/>
    <col collapsed="false" customWidth="true" hidden="false" outlineLevel="0" max="7" min="7" style="1" width="10.85"/>
  </cols>
  <sheetData>
    <row r="1" customFormat="false" ht="13.8" hidden="false" customHeight="false" outlineLevel="0" collapsed="false">
      <c r="E1" s="2" t="s">
        <v>0</v>
      </c>
      <c r="F1" s="1" t="s">
        <v>1</v>
      </c>
      <c r="G1" s="1" t="s">
        <v>29</v>
      </c>
    </row>
    <row r="2" customFormat="false" ht="13.8" hidden="false" customHeight="false" outlineLevel="0" collapsed="false">
      <c r="E2" s="2" t="n">
        <v>1</v>
      </c>
      <c r="F2" s="1" t="s">
        <v>4</v>
      </c>
      <c r="G2" s="1" t="n">
        <v>90</v>
      </c>
    </row>
    <row r="3" customFormat="false" ht="13.8" hidden="false" customHeight="false" outlineLevel="0" collapsed="false">
      <c r="E3" s="2" t="n">
        <v>2</v>
      </c>
      <c r="F3" s="1" t="s">
        <v>9</v>
      </c>
      <c r="G3" s="1" t="n">
        <v>60</v>
      </c>
    </row>
    <row r="4" customFormat="false" ht="13.8" hidden="false" customHeight="false" outlineLevel="0" collapsed="false">
      <c r="E4" s="2" t="n">
        <v>3</v>
      </c>
      <c r="F4" s="1" t="s">
        <v>19</v>
      </c>
      <c r="G4" s="1" t="n">
        <v>70</v>
      </c>
    </row>
    <row r="5" customFormat="false" ht="13.8" hidden="false" customHeight="false" outlineLevel="0" collapsed="false">
      <c r="E5" s="2" t="n">
        <v>4</v>
      </c>
      <c r="F5" s="1" t="s">
        <v>23</v>
      </c>
      <c r="G5" s="1" t="n">
        <v>60</v>
      </c>
    </row>
    <row r="6" customFormat="false" ht="13.8" hidden="false" customHeight="false" outlineLevel="0" collapsed="false">
      <c r="E6" s="2" t="n">
        <v>5</v>
      </c>
      <c r="F6" s="1" t="s">
        <v>26</v>
      </c>
      <c r="G6" s="1" t="n">
        <v>60</v>
      </c>
    </row>
    <row r="7" customFormat="false" ht="13.8" hidden="false" customHeight="false" outlineLevel="0" collapsed="false">
      <c r="E7" s="2" t="n">
        <v>6</v>
      </c>
      <c r="F7" s="1" t="s">
        <v>28</v>
      </c>
      <c r="G7" s="1" t="n">
        <v>80</v>
      </c>
    </row>
    <row r="8" customFormat="false" ht="13.8" hidden="false" customHeight="false" outlineLevel="0" collapsed="false">
      <c r="G8" s="1" t="n">
        <f aca="false">SUM(G2:G7)</f>
        <v>420</v>
      </c>
    </row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1.43"/>
    <col collapsed="false" customWidth="true" hidden="false" outlineLevel="0" max="4" min="4" style="3" width="9.14"/>
    <col collapsed="false" customWidth="true" hidden="false" outlineLevel="0" max="5" min="5" style="1" width="50.57"/>
    <col collapsed="false" customWidth="true" hidden="false" outlineLevel="0" max="6" min="6" style="1" width="19.93"/>
  </cols>
  <sheetData>
    <row r="1" customFormat="false" ht="13.8" hidden="false" customHeight="false" outlineLevel="0" collapsed="false">
      <c r="E1" s="1" t="s">
        <v>1</v>
      </c>
      <c r="F1" s="1" t="s">
        <v>30</v>
      </c>
      <c r="H1" s="1" t="s">
        <v>31</v>
      </c>
    </row>
    <row r="2" customFormat="false" ht="13.8" hidden="false" customHeight="false" outlineLevel="0" collapsed="false">
      <c r="A2" s="1" t="s">
        <v>32</v>
      </c>
      <c r="D2" s="3" t="n">
        <v>1</v>
      </c>
      <c r="E2" s="1" t="s">
        <v>4</v>
      </c>
      <c r="F2" s="1" t="n">
        <f aca="false">SUM('2. Pembobotan Kriteria'!G2/'2. Pembobotan Kriteria'!G8)</f>
        <v>0.214285714285714</v>
      </c>
      <c r="H2" s="1" t="s">
        <v>33</v>
      </c>
    </row>
    <row r="3" customFormat="false" ht="13.8" hidden="false" customHeight="false" outlineLevel="0" collapsed="false">
      <c r="D3" s="3" t="n">
        <v>2</v>
      </c>
      <c r="E3" s="1" t="s">
        <v>9</v>
      </c>
      <c r="F3" s="1" t="n">
        <f aca="false">SUM('2. Pembobotan Kriteria'!G3/'2. Pembobotan Kriteria'!G8)</f>
        <v>0.142857142857143</v>
      </c>
      <c r="H3" s="1" t="s">
        <v>34</v>
      </c>
    </row>
    <row r="4" customFormat="false" ht="13.8" hidden="false" customHeight="false" outlineLevel="0" collapsed="false">
      <c r="D4" s="3" t="n">
        <v>3</v>
      </c>
      <c r="E4" s="1" t="s">
        <v>19</v>
      </c>
      <c r="F4" s="1" t="n">
        <f aca="false">SUM('2. Pembobotan Kriteria'!G4/'2. Pembobotan Kriteria'!G8)</f>
        <v>0.166666666666667</v>
      </c>
      <c r="H4" s="1" t="s">
        <v>35</v>
      </c>
    </row>
    <row r="5" customFormat="false" ht="13.8" hidden="false" customHeight="false" outlineLevel="0" collapsed="false">
      <c r="D5" s="3" t="n">
        <v>4</v>
      </c>
      <c r="E5" s="1" t="s">
        <v>23</v>
      </c>
      <c r="F5" s="1" t="n">
        <f aca="false">SUM('2. Pembobotan Kriteria'!G5/'2. Pembobotan Kriteria'!G8)</f>
        <v>0.142857142857143</v>
      </c>
      <c r="H5" s="1" t="s">
        <v>34</v>
      </c>
    </row>
    <row r="6" customFormat="false" ht="13.8" hidden="false" customHeight="false" outlineLevel="0" collapsed="false">
      <c r="D6" s="3" t="n">
        <v>5</v>
      </c>
      <c r="E6" s="1" t="s">
        <v>26</v>
      </c>
      <c r="F6" s="1" t="n">
        <f aca="false">SUM('2. Pembobotan Kriteria'!G6/'2. Pembobotan Kriteria'!G8)</f>
        <v>0.142857142857143</v>
      </c>
      <c r="H6" s="1" t="s">
        <v>34</v>
      </c>
    </row>
    <row r="7" customFormat="false" ht="13.8" hidden="false" customHeight="false" outlineLevel="0" collapsed="false">
      <c r="D7" s="3" t="n">
        <v>6</v>
      </c>
      <c r="E7" s="1" t="s">
        <v>28</v>
      </c>
      <c r="F7" s="1" t="n">
        <f aca="false">SUM('2. Pembobotan Kriteria'!G7/'2. Pembobotan Kriteria'!G8)</f>
        <v>0.19047619047619</v>
      </c>
      <c r="H7" s="1" t="s">
        <v>36</v>
      </c>
    </row>
    <row r="8" customFormat="false" ht="13.8" hidden="false" customHeight="false" outlineLevel="0" collapsed="false">
      <c r="E8" s="1" t="s">
        <v>37</v>
      </c>
      <c r="F8" s="1" t="n">
        <f aca="false">SUM(F2:F7)</f>
        <v>1</v>
      </c>
      <c r="H8" s="1"/>
    </row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54"/>
    <col collapsed="false" customWidth="true" hidden="false" outlineLevel="0" max="3" min="3" style="1" width="17.71"/>
    <col collapsed="false" customWidth="true" hidden="false" outlineLevel="0" max="4" min="4" style="1" width="11"/>
    <col collapsed="false" customWidth="true" hidden="false" outlineLevel="0" max="6" min="6" style="3" width="9.14"/>
    <col collapsed="false" customWidth="true" hidden="false" outlineLevel="0" max="7" min="7" style="1" width="50.57"/>
    <col collapsed="false" customWidth="true" hidden="false" outlineLevel="0" max="8" min="8" style="1" width="15.29"/>
    <col collapsed="false" customWidth="true" hidden="false" outlineLevel="0" max="9" min="9" style="1" width="11"/>
  </cols>
  <sheetData>
    <row r="1" customFormat="false" ht="13.8" hidden="false" customHeight="false" outlineLevel="0" collapsed="false">
      <c r="F1" s="3" t="s">
        <v>0</v>
      </c>
      <c r="G1" s="1" t="s">
        <v>1</v>
      </c>
      <c r="H1" s="1" t="s">
        <v>2</v>
      </c>
      <c r="I1" s="1" t="s">
        <v>38</v>
      </c>
    </row>
    <row r="2" customFormat="false" ht="13.8" hidden="false" customHeight="false" outlineLevel="0" collapsed="false">
      <c r="F2" s="3" t="n">
        <v>1</v>
      </c>
      <c r="G2" s="1" t="s">
        <v>4</v>
      </c>
      <c r="H2" s="1" t="s">
        <v>5</v>
      </c>
      <c r="I2" s="1" t="n">
        <v>40</v>
      </c>
    </row>
    <row r="3" customFormat="false" ht="13.8" hidden="false" customHeight="false" outlineLevel="0" collapsed="false">
      <c r="H3" s="1" t="s">
        <v>6</v>
      </c>
      <c r="I3" s="1" t="n">
        <v>80</v>
      </c>
    </row>
    <row r="4" customFormat="false" ht="13.8" hidden="false" customHeight="false" outlineLevel="0" collapsed="false">
      <c r="H4" s="1" t="s">
        <v>7</v>
      </c>
      <c r="I4" s="1" t="n">
        <v>90</v>
      </c>
    </row>
    <row r="5" customFormat="false" ht="13.8" hidden="false" customHeight="false" outlineLevel="0" collapsed="false">
      <c r="F5" s="3" t="n">
        <v>2</v>
      </c>
      <c r="G5" s="1" t="s">
        <v>9</v>
      </c>
      <c r="H5" s="1" t="s">
        <v>10</v>
      </c>
      <c r="I5" s="1" t="n">
        <v>80</v>
      </c>
    </row>
    <row r="6" customFormat="false" ht="13.8" hidden="false" customHeight="false" outlineLevel="0" collapsed="false">
      <c r="H6" s="1" t="s">
        <v>11</v>
      </c>
      <c r="I6" s="1" t="n">
        <v>75</v>
      </c>
    </row>
    <row r="7" customFormat="false" ht="13.8" hidden="false" customHeight="false" outlineLevel="0" collapsed="false">
      <c r="H7" s="1" t="s">
        <v>12</v>
      </c>
      <c r="I7" s="1" t="n">
        <v>70</v>
      </c>
    </row>
    <row r="8" customFormat="false" ht="13.8" hidden="false" customHeight="false" outlineLevel="0" collapsed="false">
      <c r="H8" s="1" t="s">
        <v>13</v>
      </c>
      <c r="I8" s="1" t="n">
        <v>50</v>
      </c>
    </row>
    <row r="9" customFormat="false" ht="13.8" hidden="false" customHeight="false" outlineLevel="0" collapsed="false">
      <c r="H9" s="1" t="s">
        <v>14</v>
      </c>
      <c r="I9" s="1" t="n">
        <v>30</v>
      </c>
    </row>
    <row r="10" customFormat="false" ht="13.8" hidden="false" customHeight="false" outlineLevel="0" collapsed="false">
      <c r="H10" s="1" t="s">
        <v>15</v>
      </c>
      <c r="I10" s="1" t="n">
        <v>40</v>
      </c>
    </row>
    <row r="11" customFormat="false" ht="13.8" hidden="false" customHeight="false" outlineLevel="0" collapsed="false">
      <c r="H11" s="1" t="s">
        <v>16</v>
      </c>
      <c r="I11" s="1" t="n">
        <v>20</v>
      </c>
    </row>
    <row r="12" customFormat="false" ht="13.8" hidden="false" customHeight="false" outlineLevel="0" collapsed="false">
      <c r="H12" s="1" t="s">
        <v>17</v>
      </c>
      <c r="I12" s="1" t="n">
        <v>10</v>
      </c>
    </row>
    <row r="13" customFormat="false" ht="13.8" hidden="false" customHeight="false" outlineLevel="0" collapsed="false">
      <c r="F13" s="3" t="n">
        <v>3</v>
      </c>
      <c r="G13" s="1" t="s">
        <v>19</v>
      </c>
      <c r="H13" s="1" t="s">
        <v>20</v>
      </c>
      <c r="I13" s="1" t="n">
        <v>80</v>
      </c>
    </row>
    <row r="14" customFormat="false" ht="13.8" hidden="false" customHeight="false" outlineLevel="0" collapsed="false">
      <c r="H14" s="1" t="s">
        <v>21</v>
      </c>
      <c r="I14" s="1" t="n">
        <v>50</v>
      </c>
    </row>
    <row r="15" customFormat="false" ht="13.8" hidden="false" customHeight="false" outlineLevel="0" collapsed="false">
      <c r="F15" s="3" t="n">
        <v>4</v>
      </c>
      <c r="G15" s="1" t="s">
        <v>23</v>
      </c>
      <c r="H15" s="1" t="s">
        <v>24</v>
      </c>
      <c r="I15" s="1" t="n">
        <v>40</v>
      </c>
    </row>
    <row r="16" customFormat="false" ht="13.8" hidden="false" customHeight="false" outlineLevel="0" collapsed="false">
      <c r="H16" s="1" t="s">
        <v>21</v>
      </c>
      <c r="I16" s="1" t="n">
        <v>70</v>
      </c>
    </row>
    <row r="17" customFormat="false" ht="13.8" hidden="false" customHeight="false" outlineLevel="0" collapsed="false">
      <c r="F17" s="3" t="n">
        <v>5</v>
      </c>
      <c r="G17" s="1" t="s">
        <v>26</v>
      </c>
      <c r="H17" s="1" t="s">
        <v>24</v>
      </c>
      <c r="I17" s="1" t="n">
        <v>50</v>
      </c>
    </row>
    <row r="18" customFormat="false" ht="13.8" hidden="false" customHeight="false" outlineLevel="0" collapsed="false">
      <c r="H18" s="1" t="s">
        <v>21</v>
      </c>
      <c r="I18" s="1" t="n">
        <v>80</v>
      </c>
    </row>
    <row r="19" customFormat="false" ht="13.8" hidden="false" customHeight="false" outlineLevel="0" collapsed="false">
      <c r="F19" s="3" t="n">
        <v>6</v>
      </c>
      <c r="G19" s="1" t="s">
        <v>28</v>
      </c>
      <c r="H19" s="1" t="s">
        <v>20</v>
      </c>
      <c r="I19" s="1" t="n">
        <v>80</v>
      </c>
    </row>
    <row r="20" customFormat="false" ht="13.8" hidden="false" customHeight="false" outlineLevel="0" collapsed="false">
      <c r="H20" s="1" t="s">
        <v>21</v>
      </c>
      <c r="I20" s="1" t="n">
        <v>30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0.61"/>
    <col collapsed="false" customWidth="true" hidden="false" outlineLevel="0" max="3" min="3" style="1" width="44.39"/>
    <col collapsed="false" customWidth="true" hidden="false" outlineLevel="0" max="4" min="4" style="1" width="1.67"/>
    <col collapsed="false" customWidth="true" hidden="false" outlineLevel="0" max="5" min="5" style="1" width="50.57"/>
    <col collapsed="false" customWidth="true" hidden="false" outlineLevel="0" max="6" min="6" style="1" width="11"/>
    <col collapsed="false" customWidth="true" hidden="false" outlineLevel="0" max="7" min="7" style="1" width="16.84"/>
    <col collapsed="false" customWidth="true" hidden="false" outlineLevel="0" max="8" min="8" style="1" width="22.71"/>
    <col collapsed="false" customWidth="true" hidden="false" outlineLevel="0" max="9" min="9" style="1" width="11.53"/>
  </cols>
  <sheetData>
    <row r="1" customFormat="false" ht="15" hidden="false" customHeight="true" outlineLevel="0" collapsed="false">
      <c r="A1" s="4" t="s">
        <v>39</v>
      </c>
      <c r="C1" s="1" t="s">
        <v>40</v>
      </c>
      <c r="E1" s="1" t="s">
        <v>1</v>
      </c>
      <c r="F1" s="1" t="s">
        <v>38</v>
      </c>
      <c r="G1" s="5" t="s">
        <v>41</v>
      </c>
      <c r="H1" s="1" t="s">
        <v>42</v>
      </c>
    </row>
    <row r="2" customFormat="false" ht="13.8" hidden="false" customHeight="false" outlineLevel="0" collapsed="false">
      <c r="A2" s="4"/>
      <c r="E2" s="1" t="s">
        <v>4</v>
      </c>
      <c r="F2" s="1" t="n">
        <v>80</v>
      </c>
      <c r="G2" s="5" t="n">
        <f aca="false">100*((F2-'4. Nilai Utility'!I2)/('4. Nilai Utility'!I4-'4. Nilai Utility'!I2))%</f>
        <v>0.8</v>
      </c>
      <c r="H2" s="6" t="s">
        <v>43</v>
      </c>
      <c r="I2" s="6" t="n">
        <f aca="false">SUM(100*(80-40)/(90-40))%</f>
        <v>0.8</v>
      </c>
    </row>
    <row r="3" customFormat="false" ht="13.8" hidden="false" customHeight="false" outlineLevel="0" collapsed="false">
      <c r="A3" s="4"/>
      <c r="E3" s="1" t="s">
        <v>9</v>
      </c>
      <c r="F3" s="1" t="n">
        <v>20</v>
      </c>
      <c r="G3" s="5" t="n">
        <f aca="false">100*((F3-'4. Nilai Utility'!I12)/('4. Nilai Utility'!I5-'4. Nilai Utility'!I12))%</f>
        <v>0.142857142857143</v>
      </c>
      <c r="H3" s="7" t="s">
        <v>44</v>
      </c>
      <c r="I3" s="6" t="n">
        <f aca="false">SUM(100*(20-10)/(80-10))%</f>
        <v>0.142857142857143</v>
      </c>
    </row>
    <row r="4" customFormat="false" ht="13.8" hidden="false" customHeight="false" outlineLevel="0" collapsed="false">
      <c r="A4" s="4"/>
      <c r="E4" s="1" t="s">
        <v>19</v>
      </c>
      <c r="F4" s="1" t="n">
        <v>80</v>
      </c>
      <c r="G4" s="5" t="n">
        <f aca="false">100*((F4-'4. Nilai Utility'!I14)/('4. Nilai Utility'!I13-'4. Nilai Utility'!I14))%</f>
        <v>1</v>
      </c>
      <c r="H4" s="7" t="s">
        <v>45</v>
      </c>
      <c r="I4" s="6" t="n">
        <f aca="false">SUM(100*(80-50)/(80-50))%</f>
        <v>1</v>
      </c>
    </row>
    <row r="5" customFormat="false" ht="13.8" hidden="false" customHeight="false" outlineLevel="0" collapsed="false">
      <c r="A5" s="4"/>
      <c r="E5" s="1" t="s">
        <v>23</v>
      </c>
      <c r="F5" s="1" t="n">
        <v>40</v>
      </c>
      <c r="G5" s="5" t="n">
        <f aca="false">100*((F5-'4. Nilai Utility'!I15)/('4. Nilai Utility'!I16-'4. Nilai Utility'!I15))%</f>
        <v>0</v>
      </c>
      <c r="H5" s="7" t="s">
        <v>46</v>
      </c>
      <c r="I5" s="6" t="n">
        <f aca="false">SUM(100*(40-40)/(70-40))%</f>
        <v>0</v>
      </c>
    </row>
    <row r="6" customFormat="false" ht="13.8" hidden="false" customHeight="false" outlineLevel="0" collapsed="false">
      <c r="A6" s="4"/>
      <c r="E6" s="1" t="s">
        <v>26</v>
      </c>
      <c r="F6" s="1" t="n">
        <v>50</v>
      </c>
      <c r="G6" s="5" t="n">
        <f aca="false">100*((F6-'4. Nilai Utility'!I17)/('4. Nilai Utility'!I18-'4. Nilai Utility'!I17))%</f>
        <v>0</v>
      </c>
      <c r="H6" s="7" t="s">
        <v>47</v>
      </c>
      <c r="I6" s="6" t="n">
        <f aca="false">SUM(100*(50-50)/(80-50))%</f>
        <v>0</v>
      </c>
    </row>
    <row r="7" customFormat="false" ht="13.8" hidden="false" customHeight="false" outlineLevel="0" collapsed="false">
      <c r="A7" s="4"/>
      <c r="E7" s="1" t="s">
        <v>28</v>
      </c>
      <c r="F7" s="1" t="n">
        <v>80</v>
      </c>
      <c r="G7" s="5" t="n">
        <f aca="false">100*((F7-'4. Nilai Utility'!I20)/('4. Nilai Utility'!I19-'4. Nilai Utility'!I20))%</f>
        <v>1</v>
      </c>
      <c r="H7" s="7" t="s">
        <v>48</v>
      </c>
      <c r="I7" s="6" t="n">
        <f aca="false">SUM(100*(80-30)/(80-30))%</f>
        <v>1</v>
      </c>
    </row>
    <row r="8" customFormat="false" ht="13.8" hidden="false" customHeight="false" outlineLevel="0" collapsed="false">
      <c r="A8" s="1" t="s">
        <v>2</v>
      </c>
      <c r="B8" s="1" t="s">
        <v>38</v>
      </c>
      <c r="G8" s="5" t="n">
        <f aca="false">SUM(G2:G7)</f>
        <v>2.94285714285714</v>
      </c>
    </row>
    <row r="9" customFormat="false" ht="13.8" hidden="false" customHeight="false" outlineLevel="0" collapsed="false">
      <c r="A9" s="8" t="s">
        <v>5</v>
      </c>
      <c r="B9" s="8" t="n">
        <v>40</v>
      </c>
      <c r="G9" s="9" t="n">
        <v>2.94</v>
      </c>
    </row>
    <row r="10" customFormat="false" ht="13.8" hidden="false" customHeight="false" outlineLevel="0" collapsed="false">
      <c r="A10" s="8" t="s">
        <v>6</v>
      </c>
      <c r="B10" s="8" t="n">
        <v>80</v>
      </c>
    </row>
    <row r="11" customFormat="false" ht="13.8" hidden="false" customHeight="false" outlineLevel="0" collapsed="false">
      <c r="A11" s="8" t="s">
        <v>7</v>
      </c>
      <c r="B11" s="8" t="n">
        <v>90</v>
      </c>
    </row>
    <row r="12" customFormat="false" ht="13.8" hidden="false" customHeight="false" outlineLevel="0" collapsed="false">
      <c r="A12" s="10" t="s">
        <v>10</v>
      </c>
      <c r="B12" s="10" t="n">
        <v>80</v>
      </c>
    </row>
    <row r="13" customFormat="false" ht="13.8" hidden="false" customHeight="false" outlineLevel="0" collapsed="false">
      <c r="A13" s="10" t="s">
        <v>11</v>
      </c>
      <c r="B13" s="10" t="n">
        <v>75</v>
      </c>
    </row>
    <row r="14" customFormat="false" ht="13.8" hidden="false" customHeight="false" outlineLevel="0" collapsed="false">
      <c r="A14" s="10" t="s">
        <v>12</v>
      </c>
      <c r="B14" s="10" t="n">
        <v>70</v>
      </c>
    </row>
    <row r="15" customFormat="false" ht="13.8" hidden="false" customHeight="false" outlineLevel="0" collapsed="false">
      <c r="A15" s="10" t="s">
        <v>13</v>
      </c>
      <c r="B15" s="10" t="n">
        <v>50</v>
      </c>
    </row>
    <row r="16" customFormat="false" ht="13.8" hidden="false" customHeight="false" outlineLevel="0" collapsed="false">
      <c r="A16" s="10" t="s">
        <v>14</v>
      </c>
      <c r="B16" s="10" t="n">
        <v>30</v>
      </c>
    </row>
    <row r="17" customFormat="false" ht="13.8" hidden="false" customHeight="false" outlineLevel="0" collapsed="false">
      <c r="A17" s="10" t="s">
        <v>15</v>
      </c>
      <c r="B17" s="10" t="n">
        <v>40</v>
      </c>
    </row>
    <row r="18" customFormat="false" ht="13.8" hidden="false" customHeight="false" outlineLevel="0" collapsed="false">
      <c r="A18" s="10" t="s">
        <v>16</v>
      </c>
      <c r="B18" s="10" t="n">
        <v>20</v>
      </c>
    </row>
    <row r="19" customFormat="false" ht="13.8" hidden="false" customHeight="false" outlineLevel="0" collapsed="false">
      <c r="A19" s="10" t="s">
        <v>17</v>
      </c>
      <c r="B19" s="10" t="n">
        <v>10</v>
      </c>
    </row>
    <row r="20" customFormat="false" ht="13.8" hidden="false" customHeight="false" outlineLevel="0" collapsed="false">
      <c r="A20" s="11" t="s">
        <v>20</v>
      </c>
      <c r="B20" s="11" t="n">
        <v>80</v>
      </c>
    </row>
    <row r="21" customFormat="false" ht="13.8" hidden="false" customHeight="false" outlineLevel="0" collapsed="false">
      <c r="A21" s="11" t="s">
        <v>21</v>
      </c>
      <c r="B21" s="11" t="n">
        <v>50</v>
      </c>
      <c r="C21" s="12"/>
    </row>
    <row r="22" customFormat="false" ht="13.8" hidden="false" customHeight="false" outlineLevel="0" collapsed="false">
      <c r="A22" s="13" t="s">
        <v>24</v>
      </c>
      <c r="B22" s="13" t="n">
        <v>40</v>
      </c>
    </row>
    <row r="23" customFormat="false" ht="13.8" hidden="false" customHeight="false" outlineLevel="0" collapsed="false">
      <c r="A23" s="13" t="s">
        <v>21</v>
      </c>
      <c r="B23" s="13" t="n">
        <v>70</v>
      </c>
    </row>
    <row r="24" customFormat="false" ht="13.8" hidden="false" customHeight="false" outlineLevel="0" collapsed="false">
      <c r="A24" s="14" t="s">
        <v>24</v>
      </c>
      <c r="B24" s="14" t="n">
        <v>50</v>
      </c>
    </row>
    <row r="25" customFormat="false" ht="13.8" hidden="false" customHeight="false" outlineLevel="0" collapsed="false">
      <c r="A25" s="14" t="s">
        <v>21</v>
      </c>
      <c r="B25" s="14" t="n">
        <v>80</v>
      </c>
    </row>
    <row r="26" customFormat="false" ht="13.8" hidden="false" customHeight="false" outlineLevel="0" collapsed="false">
      <c r="A26" s="15" t="s">
        <v>20</v>
      </c>
      <c r="B26" s="15" t="n">
        <v>80</v>
      </c>
    </row>
    <row r="27" customFormat="false" ht="13.8" hidden="false" customHeight="false" outlineLevel="0" collapsed="false">
      <c r="A27" s="15" t="s">
        <v>21</v>
      </c>
      <c r="B27" s="15" t="n">
        <v>30</v>
      </c>
    </row>
  </sheetData>
  <mergeCells count="1">
    <mergeCell ref="A1:A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.57"/>
    <col collapsed="false" customWidth="true" hidden="false" outlineLevel="0" max="2" min="2" style="1" width="26.05"/>
    <col collapsed="false" customWidth="true" hidden="false" outlineLevel="0" max="3" min="3" style="0" width="28.41"/>
    <col collapsed="false" customWidth="true" hidden="false" outlineLevel="0" max="4" min="4" style="1" width="35.78"/>
    <col collapsed="false" customWidth="true" hidden="false" outlineLevel="0" max="5" min="5" style="1" width="50.57"/>
  </cols>
  <sheetData>
    <row r="1" customFormat="false" ht="13.8" hidden="false" customHeight="false" outlineLevel="0" collapsed="false">
      <c r="A1" s="1" t="s">
        <v>1</v>
      </c>
      <c r="B1" s="6" t="s">
        <v>49</v>
      </c>
      <c r="C1" s="0" t="s">
        <v>50</v>
      </c>
      <c r="D1" s="1" t="s">
        <v>51</v>
      </c>
      <c r="E1" s="0"/>
    </row>
    <row r="2" customFormat="false" ht="13.8" hidden="false" customHeight="false" outlineLevel="0" collapsed="false">
      <c r="A2" s="1" t="s">
        <v>4</v>
      </c>
      <c r="B2" s="1" t="n">
        <f aca="false">90/420</f>
        <v>0.214285714285714</v>
      </c>
      <c r="C2" s="6" t="n">
        <f aca="false">(100*(80-40)/(90-40))%</f>
        <v>0.8</v>
      </c>
      <c r="D2" s="1" t="n">
        <f aca="false">B2*C2</f>
        <v>0.171428571428571</v>
      </c>
      <c r="E2" s="0"/>
    </row>
    <row r="3" customFormat="false" ht="13.8" hidden="false" customHeight="false" outlineLevel="0" collapsed="false">
      <c r="A3" s="1" t="s">
        <v>9</v>
      </c>
      <c r="B3" s="1" t="n">
        <f aca="false">60/420</f>
        <v>0.142857142857143</v>
      </c>
      <c r="C3" s="6" t="n">
        <f aca="false">(100*(20-10)/(80-10))%</f>
        <v>0.142857142857143</v>
      </c>
      <c r="D3" s="1" t="n">
        <f aca="false">B3*C3</f>
        <v>0.0204081632653061</v>
      </c>
      <c r="E3" s="0"/>
    </row>
    <row r="4" customFormat="false" ht="13.8" hidden="false" customHeight="false" outlineLevel="0" collapsed="false">
      <c r="A4" s="1" t="s">
        <v>19</v>
      </c>
      <c r="B4" s="1" t="n">
        <f aca="false">70/420</f>
        <v>0.166666666666667</v>
      </c>
      <c r="C4" s="6" t="n">
        <f aca="false">(100*(80-50)/(80-50))%</f>
        <v>1</v>
      </c>
      <c r="D4" s="1" t="n">
        <f aca="false">B4*C4</f>
        <v>0.166666666666667</v>
      </c>
      <c r="E4" s="0"/>
    </row>
    <row r="5" customFormat="false" ht="13.8" hidden="false" customHeight="false" outlineLevel="0" collapsed="false">
      <c r="A5" s="1" t="s">
        <v>23</v>
      </c>
      <c r="B5" s="1" t="n">
        <f aca="false">60/420</f>
        <v>0.142857142857143</v>
      </c>
      <c r="C5" s="6" t="n">
        <f aca="false">(100*(40-40)/(70-40))%</f>
        <v>0</v>
      </c>
      <c r="D5" s="1" t="n">
        <f aca="false">B5*C5</f>
        <v>0</v>
      </c>
      <c r="E5" s="0"/>
    </row>
    <row r="6" customFormat="false" ht="13.8" hidden="false" customHeight="false" outlineLevel="0" collapsed="false">
      <c r="A6" s="1" t="s">
        <v>26</v>
      </c>
      <c r="B6" s="1" t="n">
        <f aca="false">60/420</f>
        <v>0.142857142857143</v>
      </c>
      <c r="C6" s="6" t="n">
        <f aca="false">(100*(50-50)/(80-50))%</f>
        <v>0</v>
      </c>
      <c r="D6" s="1" t="n">
        <f aca="false">B6*C6</f>
        <v>0</v>
      </c>
      <c r="E6" s="0"/>
    </row>
    <row r="7" customFormat="false" ht="13.8" hidden="false" customHeight="false" outlineLevel="0" collapsed="false">
      <c r="A7" s="1" t="s">
        <v>28</v>
      </c>
      <c r="B7" s="1" t="n">
        <f aca="false">80/420</f>
        <v>0.19047619047619</v>
      </c>
      <c r="C7" s="6" t="n">
        <f aca="false">(100*(80-30)/(80-30))%</f>
        <v>1</v>
      </c>
      <c r="D7" s="1" t="n">
        <f aca="false">B7*C7</f>
        <v>0.19047619047619</v>
      </c>
      <c r="E7" s="0"/>
    </row>
    <row r="8" customFormat="false" ht="13.8" hidden="false" customHeight="false" outlineLevel="0" collapsed="false">
      <c r="E8" s="0"/>
    </row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>
      <c r="A12" s="1" t="s">
        <v>1</v>
      </c>
      <c r="B12" s="1" t="s">
        <v>52</v>
      </c>
      <c r="D12" s="0"/>
    </row>
    <row r="13" customFormat="false" ht="13.8" hidden="false" customHeight="false" outlineLevel="0" collapsed="false">
      <c r="A13" s="1" t="s">
        <v>4</v>
      </c>
      <c r="B13" s="1" t="n">
        <f aca="false">'3. Normalisasi'!F2*'5. Contoh Kasus'!G2</f>
        <v>0.171428571428571</v>
      </c>
      <c r="D13" s="0"/>
    </row>
    <row r="14" customFormat="false" ht="13.8" hidden="false" customHeight="false" outlineLevel="0" collapsed="false">
      <c r="A14" s="1" t="s">
        <v>9</v>
      </c>
      <c r="B14" s="1" t="n">
        <f aca="false">'3. Normalisasi'!F3*'5. Contoh Kasus'!G3</f>
        <v>0.0204081632653062</v>
      </c>
      <c r="D14" s="0"/>
    </row>
    <row r="15" customFormat="false" ht="13.8" hidden="false" customHeight="false" outlineLevel="0" collapsed="false">
      <c r="A15" s="1" t="s">
        <v>19</v>
      </c>
      <c r="B15" s="1" t="n">
        <f aca="false">'3. Normalisasi'!F4*'5. Contoh Kasus'!G4</f>
        <v>0.166666666666667</v>
      </c>
      <c r="D15" s="0"/>
    </row>
    <row r="16" customFormat="false" ht="13.8" hidden="false" customHeight="false" outlineLevel="0" collapsed="false">
      <c r="A16" s="1" t="s">
        <v>23</v>
      </c>
      <c r="B16" s="1" t="n">
        <f aca="false">'3. Normalisasi'!F5*'5. Contoh Kasus'!G5</f>
        <v>0</v>
      </c>
      <c r="D16" s="0"/>
    </row>
    <row r="17" customFormat="false" ht="13.8" hidden="false" customHeight="false" outlineLevel="0" collapsed="false">
      <c r="A17" s="1" t="s">
        <v>26</v>
      </c>
      <c r="B17" s="1" t="n">
        <f aca="false">'3. Normalisasi'!F6*'5. Contoh Kasus'!G6</f>
        <v>0</v>
      </c>
      <c r="D17" s="0"/>
    </row>
    <row r="18" customFormat="false" ht="13.8" hidden="false" customHeight="false" outlineLevel="0" collapsed="false">
      <c r="A18" s="1" t="s">
        <v>28</v>
      </c>
      <c r="B18" s="1" t="n">
        <f aca="false">'3. Normalisasi'!F7*'5. Contoh Kasus'!G7</f>
        <v>0.19047619047619</v>
      </c>
      <c r="D18" s="0"/>
    </row>
    <row r="19" customFormat="false" ht="13.8" hidden="false" customHeight="false" outlineLevel="0" collapsed="false">
      <c r="B19" s="1" t="n">
        <f aca="false">SUM(B13:B18)</f>
        <v>0.548979591836734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11.85"/>
    <col collapsed="false" customWidth="true" hidden="false" outlineLevel="0" max="3" min="3" style="1" width="63.85"/>
  </cols>
  <sheetData>
    <row r="1" customFormat="false" ht="15" hidden="false" customHeight="false" outlineLevel="0" collapsed="false">
      <c r="A1" s="1" t="s">
        <v>0</v>
      </c>
      <c r="B1" s="1" t="s">
        <v>53</v>
      </c>
      <c r="C1" s="1" t="s">
        <v>54</v>
      </c>
    </row>
    <row r="2" customFormat="false" ht="15" hidden="false" customHeight="false" outlineLevel="0" collapsed="false">
      <c r="A2" s="1" t="s">
        <v>3</v>
      </c>
      <c r="B2" s="1" t="s">
        <v>55</v>
      </c>
      <c r="C2" s="1" t="s">
        <v>56</v>
      </c>
    </row>
    <row r="3" customFormat="false" ht="15" hidden="false" customHeight="false" outlineLevel="0" collapsed="false">
      <c r="A3" s="1" t="s">
        <v>8</v>
      </c>
      <c r="B3" s="1" t="s">
        <v>57</v>
      </c>
      <c r="C3" s="1" t="s">
        <v>58</v>
      </c>
    </row>
    <row r="4" customFormat="false" ht="15" hidden="false" customHeight="false" outlineLevel="0" collapsed="false">
      <c r="A4" s="1" t="s">
        <v>18</v>
      </c>
      <c r="B4" s="1" t="s">
        <v>59</v>
      </c>
      <c r="C4" s="1" t="s">
        <v>60</v>
      </c>
    </row>
    <row r="7" customFormat="false" ht="15" hidden="false" customHeight="false" outlineLevel="0" collapsed="false">
      <c r="B7" s="1" t="s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2025-09-28T14:45:06Z</dcterms:created>
  <dc:creator>Anisya Maulina</dc:creator>
  <dc:description/>
  <dc:language>en-ID</dc:language>
  <cp:lastModifiedBy/>
  <cp:lastPrinted>2026-01-28T16:05:57Z</cp:lastPrinted>
  <dcterms:modified xsi:type="dcterms:W3CDTF">2026-02-20T08:28:15Z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